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ntitascombr.sharepoint.com/sites/fs-publico/Documentos Partilhados/Igor Maccari/Analise/"/>
    </mc:Choice>
  </mc:AlternateContent>
  <xr:revisionPtr revIDLastSave="681" documentId="8_{9D695837-D352-42D1-819C-6E7EE7649482}" xr6:coauthVersionLast="47" xr6:coauthVersionMax="47" xr10:uidLastSave="{5C188DC0-9335-4BCA-A73F-BB1431F962E0}"/>
  <bookViews>
    <workbookView xWindow="28680" yWindow="-120" windowWidth="29040" windowHeight="15720" activeTab="3" xr2:uid="{5D95ADE4-7108-473A-95D2-8E21C08B6BBD}"/>
  </bookViews>
  <sheets>
    <sheet name="BASE_EMISSORES" sheetId="1" r:id="rId1"/>
    <sheet name="PARAMETROS" sheetId="2" r:id="rId2"/>
    <sheet name="CALCULO_NOTA" sheetId="3" r:id="rId3"/>
    <sheet name="NOVO_EMISSOR" sheetId="5" r:id="rId4"/>
  </sheets>
  <definedNames>
    <definedName name="_xlnm._FilterDatabase" localSheetId="0" hidden="1">BASE_EMISSORES!$B$1:$K$11</definedName>
    <definedName name="_xlnm._FilterDatabase" localSheetId="1" hidden="1">PARAMETROS!$B$18:$C$18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5" l="1"/>
  <c r="C25" i="5"/>
  <c r="C23" i="5" a="1"/>
  <c r="C23" i="5" s="1"/>
  <c r="C22" i="5"/>
  <c r="C24" i="5" s="1"/>
  <c r="G9" i="5" l="1"/>
  <c r="G8" i="5"/>
  <c r="G7" i="5"/>
  <c r="G6" i="5"/>
  <c r="G5" i="5"/>
  <c r="G4" i="5"/>
  <c r="G3" i="5"/>
  <c r="G10" i="5" l="1"/>
  <c r="G11" i="5" s="1"/>
  <c r="L5" i="3"/>
  <c r="L6" i="3"/>
  <c r="L7" i="3"/>
  <c r="L8" i="3"/>
  <c r="L9" i="3"/>
  <c r="L10" i="3"/>
  <c r="L11" i="3"/>
  <c r="L12" i="3"/>
  <c r="L13" i="3"/>
  <c r="L4" i="3"/>
  <c r="K9" i="3"/>
  <c r="J5" i="3"/>
  <c r="K5" i="3" s="1"/>
  <c r="J6" i="3"/>
  <c r="K6" i="3" s="1"/>
  <c r="J7" i="3"/>
  <c r="K7" i="3" s="1"/>
  <c r="J8" i="3"/>
  <c r="K8" i="3" s="1"/>
  <c r="J9" i="3"/>
  <c r="J10" i="3"/>
  <c r="K10" i="3" s="1"/>
  <c r="J11" i="3"/>
  <c r="K11" i="3" s="1"/>
  <c r="J12" i="3"/>
  <c r="K12" i="3" s="1"/>
  <c r="J13" i="3"/>
  <c r="K13" i="3" s="1"/>
  <c r="J4" i="3"/>
  <c r="K4" i="3" s="1"/>
  <c r="I5" i="3"/>
  <c r="I6" i="3"/>
  <c r="I7" i="3"/>
  <c r="I8" i="3"/>
  <c r="I9" i="3"/>
  <c r="I10" i="3"/>
  <c r="I11" i="3"/>
  <c r="I12" i="3"/>
  <c r="I13" i="3"/>
  <c r="I4" i="3"/>
  <c r="H5" i="3"/>
  <c r="H6" i="3"/>
  <c r="H12" i="3"/>
  <c r="H13" i="3"/>
  <c r="H4" i="3"/>
  <c r="G12" i="3"/>
  <c r="D7" i="3"/>
  <c r="B5" i="3"/>
  <c r="B6" i="3"/>
  <c r="B7" i="3"/>
  <c r="B8" i="3"/>
  <c r="B9" i="3"/>
  <c r="B10" i="3"/>
  <c r="B11" i="3"/>
  <c r="B12" i="3"/>
  <c r="B13" i="3"/>
  <c r="B4" i="3"/>
  <c r="A5" i="3"/>
  <c r="C5" i="3" s="1"/>
  <c r="A6" i="3"/>
  <c r="C6" i="3" s="1"/>
  <c r="A7" i="3"/>
  <c r="C7" i="3" s="1"/>
  <c r="A8" i="3"/>
  <c r="C8" i="3" s="1"/>
  <c r="A9" i="3"/>
  <c r="C9" i="3" s="1"/>
  <c r="A10" i="3"/>
  <c r="C10" i="3" s="1"/>
  <c r="A11" i="3"/>
  <c r="E11" i="3" s="1"/>
  <c r="A12" i="3"/>
  <c r="C12" i="3" s="1"/>
  <c r="A13" i="3"/>
  <c r="C13" i="3" s="1"/>
  <c r="A4" i="3"/>
  <c r="C4" i="3" s="1"/>
  <c r="C21" i="5"/>
  <c r="D6" i="3" l="1"/>
  <c r="G9" i="3"/>
  <c r="H11" i="3"/>
  <c r="G10" i="3"/>
  <c r="E9" i="3"/>
  <c r="G8" i="3"/>
  <c r="H10" i="3"/>
  <c r="C11" i="3"/>
  <c r="E8" i="3"/>
  <c r="G7" i="3"/>
  <c r="H9" i="3"/>
  <c r="G11" i="3"/>
  <c r="G4" i="3"/>
  <c r="G6" i="3"/>
  <c r="H8" i="3"/>
  <c r="G13" i="3"/>
  <c r="G5" i="3"/>
  <c r="H7" i="3"/>
  <c r="F10" i="3"/>
  <c r="D4" i="3"/>
  <c r="D8" i="3"/>
  <c r="E10" i="3"/>
  <c r="F11" i="3"/>
  <c r="F9" i="3"/>
  <c r="D13" i="3"/>
  <c r="D5" i="3"/>
  <c r="E7" i="3"/>
  <c r="F8" i="3"/>
  <c r="D12" i="3"/>
  <c r="E4" i="3"/>
  <c r="E6" i="3"/>
  <c r="F7" i="3"/>
  <c r="D11" i="3"/>
  <c r="E13" i="3"/>
  <c r="E5" i="3"/>
  <c r="F6" i="3"/>
  <c r="D10" i="3"/>
  <c r="E12" i="3"/>
  <c r="F13" i="3"/>
  <c r="F5" i="3"/>
  <c r="D9" i="3"/>
  <c r="F12" i="3"/>
  <c r="F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<sst xmlns="http://schemas.openxmlformats.org/spreadsheetml/2006/main" count="144" uniqueCount="68">
  <si>
    <t>Emissor</t>
  </si>
  <si>
    <t>Setor</t>
  </si>
  <si>
    <t>Controlador</t>
  </si>
  <si>
    <t>Controlador (1=sim, 0=não)</t>
  </si>
  <si>
    <t>DL/EBITDA</t>
  </si>
  <si>
    <t>Margem EBITDA</t>
  </si>
  <si>
    <t>Cobertura de juros</t>
  </si>
  <si>
    <t>ROE</t>
  </si>
  <si>
    <t>Rating Interno</t>
  </si>
  <si>
    <t>Faixa</t>
  </si>
  <si>
    <t>Pontos</t>
  </si>
  <si>
    <t>Situação</t>
  </si>
  <si>
    <t>Sim</t>
  </si>
  <si>
    <t>Não</t>
  </si>
  <si>
    <t>Indicador</t>
  </si>
  <si>
    <t>Peso</t>
  </si>
  <si>
    <t>Faixas de Pontuação -&gt; Rating</t>
  </si>
  <si>
    <t>Score Final</t>
  </si>
  <si>
    <t>Rating</t>
  </si>
  <si>
    <t>AAA</t>
  </si>
  <si>
    <t>AA+</t>
  </si>
  <si>
    <t>AA</t>
  </si>
  <si>
    <t>AA-</t>
  </si>
  <si>
    <t>A+</t>
  </si>
  <si>
    <t>A</t>
  </si>
  <si>
    <t>Score Final (score*peso)</t>
  </si>
  <si>
    <t>Rating Atribuído</t>
  </si>
  <si>
    <t>Cobertura de Juros</t>
  </si>
  <si>
    <t xml:space="preserve">Pesos do Parametro </t>
  </si>
  <si>
    <t>Entrada de Dados (Analista imputa aqui)</t>
  </si>
  <si>
    <t>Conversão para Score</t>
  </si>
  <si>
    <t>Nota</t>
  </si>
  <si>
    <t>Controlador (1; -1)</t>
  </si>
  <si>
    <t>Score Setorial (benchmark)</t>
  </si>
  <si>
    <t>Média do Setor</t>
  </si>
  <si>
    <t>Mediana do Setor</t>
  </si>
  <si>
    <t>Rating Mediano</t>
  </si>
  <si>
    <t>Rating Médio</t>
  </si>
  <si>
    <t xml:space="preserve"> -&gt; ponderado pelos pesos de cada variavel independente</t>
  </si>
  <si>
    <t>A nota das variáveis independentes é calculada a partir da aba parametros, conforme as faixas</t>
  </si>
  <si>
    <t>Percentil no Setor</t>
  </si>
  <si>
    <t>Score final é o somatorio de score*peso de cada independente</t>
  </si>
  <si>
    <t>Controlador Relevante</t>
  </si>
  <si>
    <t>Logit para encontrar pesos -&gt; Y binária (rating &gt; A = 1; &lt; A = 0), ver o impacto de cada variavel no rating se melhora ou piora</t>
  </si>
  <si>
    <t>FCO/EBITDA</t>
  </si>
  <si>
    <t>TAESA</t>
  </si>
  <si>
    <t>COPEL</t>
  </si>
  <si>
    <t>CEMIG</t>
  </si>
  <si>
    <t>ELETROBRAS</t>
  </si>
  <si>
    <t>NEOENERGIA</t>
  </si>
  <si>
    <t>ENERGISA</t>
  </si>
  <si>
    <t>SERENA</t>
  </si>
  <si>
    <t>EQUATORIAL</t>
  </si>
  <si>
    <t>TUPI ENERGIA</t>
  </si>
  <si>
    <t>CPFL</t>
  </si>
  <si>
    <t>Energia eletrica</t>
  </si>
  <si>
    <t>Caixa/Divida CP</t>
  </si>
  <si>
    <t>EBITDA/Resultado Financeiro</t>
  </si>
  <si>
    <t>Data</t>
  </si>
  <si>
    <t>Válido</t>
  </si>
  <si>
    <t>EBITDA/Resultado financeiro</t>
  </si>
  <si>
    <t>A-</t>
  </si>
  <si>
    <t>BBB+</t>
  </si>
  <si>
    <t>BBB</t>
  </si>
  <si>
    <t>Rating atual</t>
  </si>
  <si>
    <t xml:space="preserve"> -&gt; Regressão logística para encontrar os pesos</t>
  </si>
  <si>
    <t>Caixa/Dívida CP</t>
  </si>
  <si>
    <t xml:space="preserve"> -&gt; Aqui mostra a posição percentual do emissor dentro do setor. Por exemplo: 30%, o emissor é melhor que 70% do setor.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</si>
</sst>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x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0" fontId="1" fillId="0" borderId="0" xfId="0" applyFont="1"/>
    <xf numFmtId="9" fontId="3" fillId="0" borderId="0" xfId="0" applyNumberFormat="1" applyFont="1"/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1" fillId="2" borderId="0" xfId="0" applyFont="1" applyFill="1"/>
    <xf numFmtId="49" fontId="0" fillId="2" borderId="0" xfId="0" applyNumberFormat="1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/>
    <xf numFmtId="9" fontId="3" fillId="0" borderId="0" xfId="1" applyFont="1" applyAlignment="1">
      <alignment vertical="center" wrapText="1"/>
    </xf>
    <xf numFmtId="0" fontId="3" fillId="0" borderId="0" xfId="0" applyNumberFormat="1" applyFont="1"/>
    <xf numFmtId="9" fontId="3" fillId="0" borderId="0" xfId="1" applyFont="1"/>
    <xf numFmtId="9" fontId="3" fillId="2" borderId="0" xfId="0" applyNumberFormat="1" applyFont="1" applyFill="1" applyAlignment="1">
      <alignment vertical="center" wrapText="1"/>
    </xf>
    <xf numFmtId="9" fontId="3" fillId="2" borderId="0" xfId="0" applyNumberFormat="1" applyFont="1" applyFill="1"/>
    <xf numFmtId="9" fontId="3" fillId="3" borderId="0" xfId="0" applyNumberFormat="1" applyFont="1" applyFill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9" fontId="3" fillId="3" borderId="0" xfId="0" applyNumberFormat="1" applyFont="1" applyFill="1"/>
    <xf numFmtId="9" fontId="0" fillId="2" borderId="0" xfId="1" applyNumberFormat="1" applyFont="1" applyFill="1"/>
    <xf numFmtId="9" fontId="0" fillId="3" borderId="0" xfId="1" applyNumberFormat="1" applyFon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EBA0-86FE-4229-9E17-5B9C68227EAA}">
  <dimension ref="A1:L11"/>
  <sheetViews>
    <sheetView workbookViewId="0">
      <selection activeCell="C2" sqref="C2"/>
    </sheetView>
  </sheetViews>
  <sheetFormatPr defaultRowHeight="14.4" x14ac:dyDescent="0.3"/>
  <cols>
    <col min="1" max="1" width="10.33203125" bestFit="1" customWidth="1"/>
    <col min="2" max="2" width="12.77734375" bestFit="1" customWidth="1"/>
    <col min="3" max="3" width="14.33203125" bestFit="1" customWidth="1"/>
    <col min="4" max="4" width="25.109375" bestFit="1" customWidth="1"/>
    <col min="5" max="5" width="10.21875" bestFit="1" customWidth="1"/>
    <col min="6" max="6" width="14.6640625" bestFit="1" customWidth="1"/>
    <col min="7" max="7" width="12.109375" bestFit="1" customWidth="1"/>
    <col min="8" max="8" width="17.6640625" bestFit="1" customWidth="1"/>
    <col min="9" max="9" width="15.109375" bestFit="1" customWidth="1"/>
    <col min="10" max="10" width="7.109375" bestFit="1" customWidth="1"/>
    <col min="11" max="11" width="13.44140625" bestFit="1" customWidth="1"/>
  </cols>
  <sheetData>
    <row r="1" spans="1:12" x14ac:dyDescent="0.3">
      <c r="A1" s="6" t="s">
        <v>58</v>
      </c>
      <c r="B1" s="6" t="s">
        <v>0</v>
      </c>
      <c r="C1" s="6" t="s">
        <v>1</v>
      </c>
      <c r="D1" s="6" t="s">
        <v>3</v>
      </c>
      <c r="E1" s="6" t="s">
        <v>4</v>
      </c>
      <c r="F1" s="6" t="s">
        <v>5</v>
      </c>
      <c r="G1" s="6" t="s">
        <v>44</v>
      </c>
      <c r="H1" s="6" t="s">
        <v>57</v>
      </c>
      <c r="I1" s="6" t="s">
        <v>56</v>
      </c>
      <c r="J1" s="6" t="s">
        <v>7</v>
      </c>
      <c r="K1" s="6" t="s">
        <v>8</v>
      </c>
      <c r="L1" s="6" t="s">
        <v>59</v>
      </c>
    </row>
    <row r="2" spans="1:12" x14ac:dyDescent="0.3">
      <c r="A2" s="22">
        <v>45849</v>
      </c>
      <c r="B2" t="s">
        <v>47</v>
      </c>
      <c r="C2" t="s">
        <v>55</v>
      </c>
      <c r="D2" s="17">
        <v>0</v>
      </c>
      <c r="E2" s="18">
        <v>1</v>
      </c>
      <c r="F2" s="19">
        <v>0.19</v>
      </c>
      <c r="G2" s="19">
        <v>0.75</v>
      </c>
      <c r="H2" s="18">
        <v>1.1000000000000001</v>
      </c>
      <c r="I2" s="18">
        <v>1.7833000000000001</v>
      </c>
      <c r="J2" s="21">
        <v>7.4399999999999994E-2</v>
      </c>
      <c r="K2" s="17" t="s">
        <v>20</v>
      </c>
    </row>
    <row r="3" spans="1:12" x14ac:dyDescent="0.3">
      <c r="A3" s="22">
        <v>45708</v>
      </c>
      <c r="B3" t="s">
        <v>46</v>
      </c>
      <c r="C3" t="s">
        <v>55</v>
      </c>
      <c r="D3" s="17">
        <v>0</v>
      </c>
      <c r="E3" s="18">
        <v>1.4</v>
      </c>
      <c r="F3" s="20">
        <v>0.25</v>
      </c>
      <c r="G3" s="20">
        <v>0.62490000000000001</v>
      </c>
      <c r="H3" s="18">
        <v>5.4</v>
      </c>
      <c r="I3" s="18">
        <v>2.4</v>
      </c>
      <c r="J3" s="21">
        <v>0.17460000000000001</v>
      </c>
      <c r="K3" s="17" t="s">
        <v>20</v>
      </c>
    </row>
    <row r="4" spans="1:12" x14ac:dyDescent="0.3">
      <c r="A4" s="22">
        <v>44859</v>
      </c>
      <c r="B4" t="s">
        <v>54</v>
      </c>
      <c r="C4" t="s">
        <v>55</v>
      </c>
      <c r="D4" s="17">
        <v>1</v>
      </c>
      <c r="E4" s="18">
        <v>2</v>
      </c>
      <c r="F4" s="20">
        <v>0.3</v>
      </c>
      <c r="G4" s="20">
        <v>0.78</v>
      </c>
      <c r="H4" s="18">
        <v>5.0999999999999996</v>
      </c>
      <c r="I4" s="18">
        <v>0.7</v>
      </c>
      <c r="J4" s="21">
        <v>0.33900000000000002</v>
      </c>
      <c r="K4" s="17" t="s">
        <v>19</v>
      </c>
    </row>
    <row r="5" spans="1:12" x14ac:dyDescent="0.3">
      <c r="A5" s="22">
        <v>45685</v>
      </c>
      <c r="B5" t="s">
        <v>48</v>
      </c>
      <c r="C5" t="s">
        <v>55</v>
      </c>
      <c r="D5" s="17">
        <v>0</v>
      </c>
      <c r="E5" s="18">
        <v>1.7</v>
      </c>
      <c r="F5" s="20">
        <v>0.65</v>
      </c>
      <c r="G5" s="20">
        <v>0.3785</v>
      </c>
      <c r="H5" s="18">
        <v>2.1</v>
      </c>
      <c r="I5" s="18">
        <v>1.8</v>
      </c>
      <c r="J5" s="21">
        <v>0.10199999999999999</v>
      </c>
      <c r="K5" s="17" t="s">
        <v>20</v>
      </c>
    </row>
    <row r="6" spans="1:12" x14ac:dyDescent="0.3">
      <c r="A6" s="22">
        <v>45594</v>
      </c>
      <c r="B6" t="s">
        <v>50</v>
      </c>
      <c r="C6" t="s">
        <v>55</v>
      </c>
      <c r="D6" s="17">
        <v>0</v>
      </c>
      <c r="E6" s="18">
        <v>2.7</v>
      </c>
      <c r="F6" s="20">
        <v>0.27600000000000002</v>
      </c>
      <c r="G6" s="20">
        <v>0.59499999999999997</v>
      </c>
      <c r="H6" s="18">
        <v>4.0999999999999996</v>
      </c>
      <c r="I6" s="18">
        <v>1.2</v>
      </c>
      <c r="J6" s="21">
        <v>0.18</v>
      </c>
      <c r="K6" s="17" t="s">
        <v>21</v>
      </c>
    </row>
    <row r="7" spans="1:12" x14ac:dyDescent="0.3">
      <c r="A7" s="22">
        <v>45945</v>
      </c>
      <c r="B7" t="s">
        <v>52</v>
      </c>
      <c r="C7" t="s">
        <v>55</v>
      </c>
      <c r="D7" s="17">
        <v>0</v>
      </c>
      <c r="E7" s="18">
        <v>3.2</v>
      </c>
      <c r="F7" s="20">
        <v>0.28999999999999998</v>
      </c>
      <c r="G7" s="20">
        <v>0.2281</v>
      </c>
      <c r="H7" s="18">
        <v>2.4</v>
      </c>
      <c r="I7" s="18">
        <v>1.34</v>
      </c>
      <c r="J7" s="21">
        <v>0.14249999999999999</v>
      </c>
      <c r="K7" s="17" t="s">
        <v>20</v>
      </c>
    </row>
    <row r="8" spans="1:12" x14ac:dyDescent="0.3">
      <c r="A8" s="22">
        <v>45980</v>
      </c>
      <c r="B8" t="s">
        <v>49</v>
      </c>
      <c r="C8" t="s">
        <v>55</v>
      </c>
      <c r="D8" s="17">
        <v>1</v>
      </c>
      <c r="E8" s="18">
        <v>3.5</v>
      </c>
      <c r="F8" s="20">
        <v>0.26700000000000002</v>
      </c>
      <c r="G8" s="20">
        <v>0.45</v>
      </c>
      <c r="H8" s="18">
        <v>2.2999999999999998</v>
      </c>
      <c r="I8" s="18">
        <v>1.1000000000000001</v>
      </c>
      <c r="J8" s="21">
        <v>0.13120000000000001</v>
      </c>
      <c r="K8" s="17" t="s">
        <v>22</v>
      </c>
    </row>
    <row r="9" spans="1:12" x14ac:dyDescent="0.3">
      <c r="A9" s="22">
        <v>45727</v>
      </c>
      <c r="B9" t="s">
        <v>51</v>
      </c>
      <c r="C9" t="s">
        <v>55</v>
      </c>
      <c r="D9" s="17">
        <v>0</v>
      </c>
      <c r="E9" s="18">
        <v>5.0999999999999996</v>
      </c>
      <c r="F9" s="20">
        <v>0.55800000000000005</v>
      </c>
      <c r="G9" s="20">
        <v>0.1731</v>
      </c>
      <c r="H9" s="18">
        <v>1.9</v>
      </c>
      <c r="I9" s="18">
        <v>0.7</v>
      </c>
      <c r="J9" s="21">
        <v>5.2200000000000003E-2</v>
      </c>
      <c r="K9" s="17" t="s">
        <v>23</v>
      </c>
    </row>
    <row r="10" spans="1:12" x14ac:dyDescent="0.3">
      <c r="A10" s="22">
        <v>45849</v>
      </c>
      <c r="B10" t="s">
        <v>45</v>
      </c>
      <c r="C10" t="s">
        <v>55</v>
      </c>
      <c r="D10" s="17">
        <v>1</v>
      </c>
      <c r="E10" s="18">
        <v>5</v>
      </c>
      <c r="F10" s="20">
        <v>0.85</v>
      </c>
      <c r="G10" s="20">
        <v>0.47239999999999999</v>
      </c>
      <c r="H10" s="18">
        <v>1.5</v>
      </c>
      <c r="I10" s="18">
        <v>0.8</v>
      </c>
      <c r="J10" s="21">
        <v>0.1</v>
      </c>
      <c r="K10" s="17" t="s">
        <v>20</v>
      </c>
    </row>
    <row r="11" spans="1:12" x14ac:dyDescent="0.3">
      <c r="A11" s="22">
        <v>45758</v>
      </c>
      <c r="B11" t="s">
        <v>53</v>
      </c>
      <c r="C11" t="s">
        <v>55</v>
      </c>
      <c r="D11" s="17">
        <v>0</v>
      </c>
      <c r="E11" s="18">
        <v>3.41</v>
      </c>
      <c r="F11" s="20">
        <v>0.47</v>
      </c>
      <c r="G11" s="20">
        <v>0.64500000000000002</v>
      </c>
      <c r="H11" s="18">
        <v>2.5099999999999998</v>
      </c>
      <c r="I11" s="18">
        <v>1.48</v>
      </c>
      <c r="J11" s="21">
        <v>1.6E-2</v>
      </c>
      <c r="K11" s="17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6896-9446-4515-8954-E67A598DF8BF}">
  <dimension ref="B2:Y29"/>
  <sheetViews>
    <sheetView workbookViewId="0">
      <selection activeCell="B24" sqref="B24"/>
    </sheetView>
  </sheetViews>
  <sheetFormatPr defaultRowHeight="15.6" x14ac:dyDescent="0.3"/>
  <cols>
    <col min="1" max="1" width="8.88671875" style="2"/>
    <col min="2" max="2" width="19.109375" style="2" customWidth="1"/>
    <col min="3" max="3" width="11.33203125" style="2" customWidth="1"/>
    <col min="4" max="4" width="7.33203125" style="2" bestFit="1" customWidth="1"/>
    <col min="5" max="5" width="17.21875" style="2" customWidth="1"/>
    <col min="6" max="13" width="8.88671875" style="2"/>
    <col min="14" max="14" width="11" style="2" customWidth="1"/>
    <col min="15" max="15" width="10.109375" style="2" customWidth="1"/>
    <col min="16" max="16" width="8.88671875" style="2"/>
    <col min="17" max="17" width="11.6640625" style="2" customWidth="1"/>
    <col min="18" max="22" width="8.88671875" style="2"/>
    <col min="23" max="23" width="15" style="2" customWidth="1"/>
    <col min="24" max="24" width="13.77734375" style="2" customWidth="1"/>
    <col min="25" max="16384" width="8.88671875" style="2"/>
  </cols>
  <sheetData>
    <row r="2" spans="2:25" x14ac:dyDescent="0.3">
      <c r="B2" s="8" t="s">
        <v>42</v>
      </c>
      <c r="C2" s="9"/>
      <c r="E2" s="8" t="s">
        <v>4</v>
      </c>
      <c r="F2" s="9"/>
      <c r="H2" s="8" t="s">
        <v>5</v>
      </c>
      <c r="I2" s="9"/>
      <c r="K2" s="8" t="s">
        <v>44</v>
      </c>
      <c r="L2" s="9"/>
      <c r="N2" s="8" t="s">
        <v>27</v>
      </c>
      <c r="O2" s="8"/>
      <c r="P2" s="1"/>
      <c r="Q2" s="8" t="s">
        <v>56</v>
      </c>
      <c r="R2" s="8"/>
      <c r="S2" s="1"/>
      <c r="T2" s="8" t="s">
        <v>7</v>
      </c>
      <c r="U2" s="8"/>
      <c r="W2" s="2" t="s">
        <v>16</v>
      </c>
    </row>
    <row r="3" spans="2:25" x14ac:dyDescent="0.3">
      <c r="B3" s="3" t="s">
        <v>11</v>
      </c>
      <c r="C3" s="3" t="s">
        <v>10</v>
      </c>
      <c r="E3" s="3" t="s">
        <v>9</v>
      </c>
      <c r="F3" s="3" t="s">
        <v>10</v>
      </c>
      <c r="H3" s="3" t="s">
        <v>9</v>
      </c>
      <c r="I3" s="3" t="s">
        <v>10</v>
      </c>
      <c r="K3" s="3" t="s">
        <v>9</v>
      </c>
      <c r="L3" s="3" t="s">
        <v>10</v>
      </c>
      <c r="N3" s="3" t="s">
        <v>9</v>
      </c>
      <c r="O3" s="3" t="s">
        <v>10</v>
      </c>
      <c r="Q3" s="3" t="s">
        <v>9</v>
      </c>
      <c r="R3" s="3" t="s">
        <v>10</v>
      </c>
      <c r="S3" s="3"/>
      <c r="T3" s="3" t="s">
        <v>9</v>
      </c>
      <c r="U3" s="3" t="s">
        <v>10</v>
      </c>
      <c r="W3" s="3" t="s">
        <v>17</v>
      </c>
      <c r="X3" s="3" t="s">
        <v>18</v>
      </c>
    </row>
    <row r="4" spans="2:25" x14ac:dyDescent="0.3">
      <c r="B4" s="4" t="s">
        <v>12</v>
      </c>
      <c r="C4" s="4">
        <v>-1</v>
      </c>
      <c r="E4" s="4">
        <v>0</v>
      </c>
      <c r="F4" s="4">
        <v>1</v>
      </c>
      <c r="H4" s="23">
        <v>0.1</v>
      </c>
      <c r="I4" s="4">
        <v>5</v>
      </c>
      <c r="K4" s="7">
        <v>0.05</v>
      </c>
      <c r="L4" s="4">
        <v>5</v>
      </c>
      <c r="N4" s="2">
        <v>1</v>
      </c>
      <c r="O4" s="4">
        <v>5</v>
      </c>
      <c r="Q4" s="2">
        <v>0</v>
      </c>
      <c r="R4" s="4">
        <v>5</v>
      </c>
      <c r="T4" s="24">
        <v>0</v>
      </c>
      <c r="U4" s="4">
        <v>5</v>
      </c>
      <c r="W4" s="4">
        <v>1</v>
      </c>
      <c r="X4" s="4" t="s">
        <v>19</v>
      </c>
      <c r="Y4" s="2">
        <v>1</v>
      </c>
    </row>
    <row r="5" spans="2:25" x14ac:dyDescent="0.3">
      <c r="B5" s="4" t="s">
        <v>13</v>
      </c>
      <c r="C5" s="4">
        <v>0</v>
      </c>
      <c r="E5" s="4">
        <v>1</v>
      </c>
      <c r="F5" s="4">
        <v>2</v>
      </c>
      <c r="H5" s="23">
        <v>0.2</v>
      </c>
      <c r="I5" s="4">
        <v>4</v>
      </c>
      <c r="K5" s="7">
        <v>0.1</v>
      </c>
      <c r="L5" s="4">
        <v>4</v>
      </c>
      <c r="N5" s="2">
        <v>1.5</v>
      </c>
      <c r="O5" s="4">
        <v>4</v>
      </c>
      <c r="Q5" s="2">
        <v>0.5</v>
      </c>
      <c r="R5" s="4">
        <v>4</v>
      </c>
      <c r="T5" s="24">
        <v>0.05</v>
      </c>
      <c r="U5" s="4">
        <v>4</v>
      </c>
      <c r="W5" s="4">
        <v>1.5</v>
      </c>
      <c r="X5" s="4" t="s">
        <v>20</v>
      </c>
    </row>
    <row r="6" spans="2:25" x14ac:dyDescent="0.3">
      <c r="E6" s="4">
        <v>2</v>
      </c>
      <c r="F6" s="4">
        <v>3</v>
      </c>
      <c r="H6" s="23">
        <v>0.3</v>
      </c>
      <c r="I6" s="4">
        <v>3</v>
      </c>
      <c r="K6" s="25">
        <v>0.2</v>
      </c>
      <c r="L6" s="4">
        <v>3</v>
      </c>
      <c r="N6" s="2">
        <v>2.5</v>
      </c>
      <c r="O6" s="4">
        <v>3</v>
      </c>
      <c r="Q6" s="2">
        <v>1</v>
      </c>
      <c r="R6" s="4">
        <v>3</v>
      </c>
      <c r="T6" s="24">
        <v>0.1</v>
      </c>
      <c r="U6" s="4">
        <v>3</v>
      </c>
      <c r="W6" s="4">
        <v>2</v>
      </c>
      <c r="X6" s="4" t="s">
        <v>21</v>
      </c>
    </row>
    <row r="7" spans="2:25" x14ac:dyDescent="0.3">
      <c r="E7" s="4">
        <v>3</v>
      </c>
      <c r="F7" s="4">
        <v>4</v>
      </c>
      <c r="H7" s="23">
        <v>0.4</v>
      </c>
      <c r="I7" s="4">
        <v>2</v>
      </c>
      <c r="K7" s="25">
        <v>0.4</v>
      </c>
      <c r="L7" s="4">
        <v>2</v>
      </c>
      <c r="N7" s="2">
        <v>3</v>
      </c>
      <c r="O7" s="4">
        <v>2</v>
      </c>
      <c r="Q7" s="2">
        <v>1.5</v>
      </c>
      <c r="R7" s="4">
        <v>2</v>
      </c>
      <c r="T7" s="24">
        <v>0.15</v>
      </c>
      <c r="U7" s="4">
        <v>2</v>
      </c>
      <c r="W7" s="4">
        <v>2.5</v>
      </c>
      <c r="X7" s="4" t="s">
        <v>22</v>
      </c>
    </row>
    <row r="8" spans="2:25" x14ac:dyDescent="0.3">
      <c r="E8" s="4">
        <v>4</v>
      </c>
      <c r="F8" s="4">
        <v>5</v>
      </c>
      <c r="H8" s="23">
        <v>0.5</v>
      </c>
      <c r="I8" s="4">
        <v>1</v>
      </c>
      <c r="K8" s="25">
        <v>0.6</v>
      </c>
      <c r="L8" s="4">
        <v>1</v>
      </c>
      <c r="N8" s="2">
        <v>4</v>
      </c>
      <c r="O8" s="4">
        <v>1</v>
      </c>
      <c r="Q8" s="2">
        <v>2</v>
      </c>
      <c r="R8" s="4">
        <v>1</v>
      </c>
      <c r="T8" s="24">
        <v>0.2</v>
      </c>
      <c r="U8" s="4">
        <v>1</v>
      </c>
      <c r="W8" s="4">
        <v>3</v>
      </c>
      <c r="X8" s="4" t="s">
        <v>23</v>
      </c>
    </row>
    <row r="9" spans="2:25" x14ac:dyDescent="0.3">
      <c r="W9" s="4">
        <v>3.5</v>
      </c>
      <c r="X9" s="4" t="s">
        <v>24</v>
      </c>
    </row>
    <row r="10" spans="2:25" x14ac:dyDescent="0.3">
      <c r="H10" s="7"/>
      <c r="I10" s="24"/>
      <c r="K10" s="7"/>
      <c r="O10" s="4"/>
      <c r="T10" s="7"/>
      <c r="W10" s="4">
        <v>4</v>
      </c>
      <c r="X10" s="4" t="s">
        <v>61</v>
      </c>
    </row>
    <row r="11" spans="2:25" x14ac:dyDescent="0.3">
      <c r="H11" s="7"/>
      <c r="I11" s="24"/>
      <c r="K11" s="7"/>
      <c r="L11" s="4"/>
      <c r="O11" s="4"/>
      <c r="R11" s="4"/>
      <c r="T11" s="24"/>
      <c r="U11" s="4"/>
      <c r="W11" s="4">
        <v>4.5</v>
      </c>
      <c r="X11" s="4" t="s">
        <v>62</v>
      </c>
    </row>
    <row r="12" spans="2:25" x14ac:dyDescent="0.3">
      <c r="H12" s="7"/>
      <c r="I12" s="24"/>
      <c r="K12" s="7"/>
      <c r="L12" s="4"/>
      <c r="O12" s="4"/>
      <c r="R12" s="4"/>
      <c r="T12" s="24"/>
      <c r="U12" s="4"/>
      <c r="W12" s="4">
        <v>5</v>
      </c>
      <c r="X12" s="4" t="s">
        <v>63</v>
      </c>
      <c r="Y12" s="2">
        <v>5</v>
      </c>
    </row>
    <row r="13" spans="2:25" x14ac:dyDescent="0.3">
      <c r="H13" s="7"/>
      <c r="I13" s="24"/>
      <c r="K13" s="25"/>
      <c r="L13" s="4"/>
      <c r="O13" s="4"/>
      <c r="R13" s="4"/>
      <c r="T13" s="24"/>
      <c r="U13" s="4"/>
      <c r="W13" s="4"/>
      <c r="X13" s="4"/>
    </row>
    <row r="14" spans="2:25" x14ac:dyDescent="0.3">
      <c r="H14" s="7"/>
      <c r="I14" s="24"/>
      <c r="K14" s="25"/>
      <c r="L14" s="4"/>
      <c r="O14" s="4"/>
      <c r="R14" s="4"/>
      <c r="T14" s="24"/>
      <c r="U14" s="4"/>
      <c r="W14" s="4"/>
      <c r="X14" s="4"/>
    </row>
    <row r="15" spans="2:25" x14ac:dyDescent="0.3">
      <c r="K15" s="25"/>
      <c r="L15" s="4"/>
      <c r="R15" s="4"/>
      <c r="T15" s="24"/>
      <c r="U15" s="4"/>
      <c r="W15" s="4"/>
      <c r="X15" s="4"/>
    </row>
    <row r="17" spans="2:3" x14ac:dyDescent="0.3">
      <c r="B17" s="1" t="s">
        <v>28</v>
      </c>
      <c r="C17" s="2" t="s">
        <v>65</v>
      </c>
    </row>
    <row r="18" spans="2:3" x14ac:dyDescent="0.3">
      <c r="B18" s="3" t="s">
        <v>14</v>
      </c>
      <c r="C18" s="3" t="s">
        <v>15</v>
      </c>
    </row>
    <row r="19" spans="2:3" x14ac:dyDescent="0.3">
      <c r="B19" s="6" t="s">
        <v>4</v>
      </c>
      <c r="C19" s="5">
        <v>0.2</v>
      </c>
    </row>
    <row r="20" spans="2:3" x14ac:dyDescent="0.3">
      <c r="B20" s="6" t="s">
        <v>44</v>
      </c>
      <c r="C20" s="5">
        <v>0.2</v>
      </c>
    </row>
    <row r="21" spans="2:3" x14ac:dyDescent="0.3">
      <c r="B21" s="6" t="s">
        <v>66</v>
      </c>
      <c r="C21" s="7">
        <v>0.2</v>
      </c>
    </row>
    <row r="22" spans="2:3" x14ac:dyDescent="0.3">
      <c r="B22" s="6" t="s">
        <v>5</v>
      </c>
      <c r="C22" s="5">
        <v>0.15</v>
      </c>
    </row>
    <row r="23" spans="2:3" x14ac:dyDescent="0.3">
      <c r="B23" s="6" t="s">
        <v>6</v>
      </c>
      <c r="C23" s="7">
        <v>0.15</v>
      </c>
    </row>
    <row r="24" spans="2:3" x14ac:dyDescent="0.3">
      <c r="B24" s="6" t="s">
        <v>2</v>
      </c>
      <c r="C24" s="5">
        <v>0.05</v>
      </c>
    </row>
    <row r="25" spans="2:3" x14ac:dyDescent="0.3">
      <c r="B25" s="6" t="s">
        <v>7</v>
      </c>
      <c r="C25" s="7">
        <v>0.05</v>
      </c>
    </row>
    <row r="26" spans="2:3" x14ac:dyDescent="0.3">
      <c r="B26" s="6"/>
    </row>
    <row r="29" spans="2:3" x14ac:dyDescent="0.3">
      <c r="B29" s="2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B48A-5E67-4091-AF84-0110BBB6F3BF}">
  <dimension ref="A1:L13"/>
  <sheetViews>
    <sheetView topLeftCell="A2" workbookViewId="0">
      <selection activeCell="K17" sqref="K17"/>
    </sheetView>
  </sheetViews>
  <sheetFormatPr defaultRowHeight="14.4" x14ac:dyDescent="0.3"/>
  <cols>
    <col min="1" max="1" width="15.5546875" customWidth="1"/>
    <col min="2" max="2" width="13.88671875" customWidth="1"/>
    <col min="3" max="3" width="17.21875" bestFit="1" customWidth="1"/>
    <col min="4" max="4" width="10.21875" bestFit="1" customWidth="1"/>
    <col min="5" max="5" width="14.6640625" bestFit="1" customWidth="1"/>
    <col min="6" max="6" width="12.109375" bestFit="1" customWidth="1"/>
    <col min="7" max="7" width="26.6640625" bestFit="1" customWidth="1"/>
    <col min="8" max="8" width="11.33203125" bestFit="1" customWidth="1"/>
    <col min="9" max="9" width="4.6640625" bestFit="1" customWidth="1"/>
    <col min="10" max="10" width="22.88671875" bestFit="1" customWidth="1"/>
    <col min="11" max="11" width="15.109375" bestFit="1" customWidth="1"/>
    <col min="12" max="12" width="11.21875" bestFit="1" customWidth="1"/>
  </cols>
  <sheetData>
    <row r="1" spans="1:12" ht="15.6" hidden="1" x14ac:dyDescent="0.3">
      <c r="C1" s="5">
        <v>0.05</v>
      </c>
      <c r="D1" s="5">
        <v>0.2</v>
      </c>
      <c r="E1" s="5">
        <v>0.15</v>
      </c>
      <c r="F1" s="5">
        <v>0.2</v>
      </c>
      <c r="G1" s="5">
        <v>0.15</v>
      </c>
      <c r="H1" s="5">
        <v>0.2</v>
      </c>
      <c r="I1" s="5">
        <v>0.05</v>
      </c>
    </row>
    <row r="2" spans="1:12" x14ac:dyDescent="0.3">
      <c r="A2" t="s">
        <v>39</v>
      </c>
      <c r="J2" t="s">
        <v>41</v>
      </c>
    </row>
    <row r="3" spans="1:12" x14ac:dyDescent="0.3">
      <c r="A3" s="6" t="s">
        <v>0</v>
      </c>
      <c r="B3" s="6" t="s">
        <v>1</v>
      </c>
      <c r="C3" s="6" t="s">
        <v>32</v>
      </c>
      <c r="D3" s="6" t="s">
        <v>4</v>
      </c>
      <c r="E3" s="6" t="s">
        <v>5</v>
      </c>
      <c r="F3" s="6" t="s">
        <v>44</v>
      </c>
      <c r="G3" s="6" t="s">
        <v>60</v>
      </c>
      <c r="H3" s="6" t="s">
        <v>56</v>
      </c>
      <c r="I3" s="6" t="s">
        <v>7</v>
      </c>
      <c r="J3" s="6" t="s">
        <v>25</v>
      </c>
      <c r="K3" s="6" t="s">
        <v>26</v>
      </c>
      <c r="L3" s="6" t="s">
        <v>64</v>
      </c>
    </row>
    <row r="4" spans="1:12" x14ac:dyDescent="0.3">
      <c r="A4" t="str">
        <f>BASE_EMISSORES!B2</f>
        <v>CEMIG</v>
      </c>
      <c r="B4" t="str">
        <f>BASE_EMISSORES!C2</f>
        <v>Energia eletrica</v>
      </c>
      <c r="C4">
        <f>IF(_xlfn.XLOOKUP(A4,BASE_EMISSORES!B:B,BASE_EMISSORES!D:D)=1,0,-1)</f>
        <v>-1</v>
      </c>
      <c r="D4">
        <f>VLOOKUP(_xlfn.XLOOKUP(A4,BASE_EMISSORES!B:B,BASE_EMISSORES!E:E),PARAMETROS!$E$4:$F$8,2,TRUE)</f>
        <v>2</v>
      </c>
      <c r="E4">
        <f>VLOOKUP(_xlfn.XLOOKUP(A4,BASE_EMISSORES!B:B,BASE_EMISSORES!F:F),PARAMETROS!$H$4:$I$8,2,TRUE)</f>
        <v>5</v>
      </c>
      <c r="F4">
        <f>VLOOKUP(_xlfn.XLOOKUP(A4,BASE_EMISSORES!B:B,BASE_EMISSORES!G:G),PARAMETROS!$K$4:$L$8,2,TRUE)</f>
        <v>1</v>
      </c>
      <c r="G4">
        <f>VLOOKUP(_xlfn.XLOOKUP(A4,BASE_EMISSORES!B:B,BASE_EMISSORES!H:H),PARAMETROS!$N$4:$O$8,2,TRUE)</f>
        <v>5</v>
      </c>
      <c r="H4">
        <f>VLOOKUP(_xlfn.XLOOKUP(A4,BASE_EMISSORES!B:B,BASE_EMISSORES!I:I),PARAMETROS!$Q$4:$R$8,2,TRUE)</f>
        <v>2</v>
      </c>
      <c r="I4">
        <f>VLOOKUP(_xlfn.XLOOKUP(A4,BASE_EMISSORES!B:B,BASE_EMISSORES!J:J),PARAMETROS!$T$4:$U$8,2,TRUE)</f>
        <v>4</v>
      </c>
      <c r="J4">
        <f>SUMPRODUCT(C4:I4,$C$1:$I$1)</f>
        <v>2.65</v>
      </c>
      <c r="K4" s="17" t="str">
        <f>VLOOKUP(J4,PARAMETROS!$W$4:$X$12,2,TRUE)</f>
        <v>AA-</v>
      </c>
      <c r="L4" s="17" t="str">
        <f>BASE_EMISSORES!K2</f>
        <v>AA+</v>
      </c>
    </row>
    <row r="5" spans="1:12" x14ac:dyDescent="0.3">
      <c r="A5" t="str">
        <f>BASE_EMISSORES!B3</f>
        <v>COPEL</v>
      </c>
      <c r="B5" t="str">
        <f>BASE_EMISSORES!C3</f>
        <v>Energia eletrica</v>
      </c>
      <c r="C5">
        <f>IF(_xlfn.XLOOKUP(A5,BASE_EMISSORES!B:B,BASE_EMISSORES!D:D)=1,0,-1)</f>
        <v>-1</v>
      </c>
      <c r="D5">
        <f>VLOOKUP(_xlfn.XLOOKUP(A5,BASE_EMISSORES!B:B,BASE_EMISSORES!E:E),PARAMETROS!$E$4:$F$8,2,TRUE)</f>
        <v>2</v>
      </c>
      <c r="E5">
        <f>VLOOKUP(_xlfn.XLOOKUP(A5,BASE_EMISSORES!B:B,BASE_EMISSORES!F:F),PARAMETROS!$H$4:$I$8,2,TRUE)</f>
        <v>4</v>
      </c>
      <c r="F5">
        <f>VLOOKUP(_xlfn.XLOOKUP(A5,BASE_EMISSORES!B:B,BASE_EMISSORES!G:G),PARAMETROS!$K$4:$L$8,2,TRUE)</f>
        <v>1</v>
      </c>
      <c r="G5">
        <f>VLOOKUP(_xlfn.XLOOKUP(A5,BASE_EMISSORES!B:B,BASE_EMISSORES!H:H),PARAMETROS!$N$4:$O$8,2,TRUE)</f>
        <v>1</v>
      </c>
      <c r="H5">
        <f>VLOOKUP(_xlfn.XLOOKUP(A5,BASE_EMISSORES!B:B,BASE_EMISSORES!I:I),PARAMETROS!$Q$4:$R$8,2,TRUE)</f>
        <v>1</v>
      </c>
      <c r="I5">
        <f>VLOOKUP(_xlfn.XLOOKUP(A5,BASE_EMISSORES!B:B,BASE_EMISSORES!J:J),PARAMETROS!$T$4:$U$8,2,TRUE)</f>
        <v>2</v>
      </c>
      <c r="J5">
        <f t="shared" ref="J5:J13" si="0">SUMPRODUCT(C5:I5,$C$1:$I$1)</f>
        <v>1.5999999999999999</v>
      </c>
      <c r="K5" s="17" t="str">
        <f>VLOOKUP(J5,PARAMETROS!$W$4:$X$12,2,TRUE)</f>
        <v>AA+</v>
      </c>
      <c r="L5" s="17" t="str">
        <f>BASE_EMISSORES!K3</f>
        <v>AA+</v>
      </c>
    </row>
    <row r="6" spans="1:12" x14ac:dyDescent="0.3">
      <c r="A6" t="str">
        <f>BASE_EMISSORES!B4</f>
        <v>CPFL</v>
      </c>
      <c r="B6" t="str">
        <f>BASE_EMISSORES!C4</f>
        <v>Energia eletrica</v>
      </c>
      <c r="C6">
        <f>IF(_xlfn.XLOOKUP(A6,BASE_EMISSORES!B:B,BASE_EMISSORES!D:D)=1,0,-1)</f>
        <v>0</v>
      </c>
      <c r="D6">
        <f>VLOOKUP(_xlfn.XLOOKUP(A6,BASE_EMISSORES!B:B,BASE_EMISSORES!E:E),PARAMETROS!$E$4:$F$8,2,TRUE)</f>
        <v>3</v>
      </c>
      <c r="E6">
        <f>VLOOKUP(_xlfn.XLOOKUP(A6,BASE_EMISSORES!B:B,BASE_EMISSORES!F:F),PARAMETROS!$H$4:$I$8,2,TRUE)</f>
        <v>3</v>
      </c>
      <c r="F6">
        <f>VLOOKUP(_xlfn.XLOOKUP(A6,BASE_EMISSORES!B:B,BASE_EMISSORES!G:G),PARAMETROS!$K$4:$L$8,2,TRUE)</f>
        <v>1</v>
      </c>
      <c r="G6">
        <f>VLOOKUP(_xlfn.XLOOKUP(A6,BASE_EMISSORES!B:B,BASE_EMISSORES!H:H),PARAMETROS!$N$4:$O$8,2,TRUE)</f>
        <v>1</v>
      </c>
      <c r="H6">
        <f>VLOOKUP(_xlfn.XLOOKUP(A6,BASE_EMISSORES!B:B,BASE_EMISSORES!I:I),PARAMETROS!$Q$4:$R$8,2,TRUE)</f>
        <v>4</v>
      </c>
      <c r="I6">
        <f>VLOOKUP(_xlfn.XLOOKUP(A6,BASE_EMISSORES!B:B,BASE_EMISSORES!J:J),PARAMETROS!$T$4:$U$8,2,TRUE)</f>
        <v>1</v>
      </c>
      <c r="J6">
        <f t="shared" si="0"/>
        <v>2.25</v>
      </c>
      <c r="K6" s="17" t="str">
        <f>VLOOKUP(J6,PARAMETROS!$W$4:$X$12,2,TRUE)</f>
        <v>AA</v>
      </c>
      <c r="L6" s="17" t="str">
        <f>BASE_EMISSORES!K4</f>
        <v>AAA</v>
      </c>
    </row>
    <row r="7" spans="1:12" x14ac:dyDescent="0.3">
      <c r="A7" t="str">
        <f>BASE_EMISSORES!B5</f>
        <v>ELETROBRAS</v>
      </c>
      <c r="B7" t="str">
        <f>BASE_EMISSORES!C5</f>
        <v>Energia eletrica</v>
      </c>
      <c r="C7">
        <f>IF(_xlfn.XLOOKUP(A7,BASE_EMISSORES!B:B,BASE_EMISSORES!D:D)=1,0,-1)</f>
        <v>-1</v>
      </c>
      <c r="D7">
        <f>VLOOKUP(_xlfn.XLOOKUP(A7,BASE_EMISSORES!B:B,BASE_EMISSORES!E:E),PARAMETROS!$E$4:$F$8,2,TRUE)</f>
        <v>2</v>
      </c>
      <c r="E7">
        <f>VLOOKUP(_xlfn.XLOOKUP(A7,BASE_EMISSORES!B:B,BASE_EMISSORES!F:F),PARAMETROS!$H$4:$I$8,2,TRUE)</f>
        <v>1</v>
      </c>
      <c r="F7">
        <f>VLOOKUP(_xlfn.XLOOKUP(A7,BASE_EMISSORES!B:B,BASE_EMISSORES!G:G),PARAMETROS!$K$4:$L$8,2,TRUE)</f>
        <v>3</v>
      </c>
      <c r="G7">
        <f>VLOOKUP(_xlfn.XLOOKUP(A7,BASE_EMISSORES!B:B,BASE_EMISSORES!H:H),PARAMETROS!$N$4:$O$8,2,TRUE)</f>
        <v>4</v>
      </c>
      <c r="H7">
        <f>VLOOKUP(_xlfn.XLOOKUP(A7,BASE_EMISSORES!B:B,BASE_EMISSORES!I:I),PARAMETROS!$Q$4:$R$8,2,TRUE)</f>
        <v>2</v>
      </c>
      <c r="I7">
        <f>VLOOKUP(_xlfn.XLOOKUP(A7,BASE_EMISSORES!B:B,BASE_EMISSORES!J:J),PARAMETROS!$T$4:$U$8,2,TRUE)</f>
        <v>3</v>
      </c>
      <c r="J7">
        <f t="shared" si="0"/>
        <v>2.25</v>
      </c>
      <c r="K7" s="17" t="str">
        <f>VLOOKUP(J7,PARAMETROS!$W$4:$X$12,2,TRUE)</f>
        <v>AA</v>
      </c>
      <c r="L7" s="17" t="str">
        <f>BASE_EMISSORES!K5</f>
        <v>AA+</v>
      </c>
    </row>
    <row r="8" spans="1:12" x14ac:dyDescent="0.3">
      <c r="A8" t="str">
        <f>BASE_EMISSORES!B6</f>
        <v>ENERGISA</v>
      </c>
      <c r="B8" t="str">
        <f>BASE_EMISSORES!C6</f>
        <v>Energia eletrica</v>
      </c>
      <c r="C8">
        <f>IF(_xlfn.XLOOKUP(A8,BASE_EMISSORES!B:B,BASE_EMISSORES!D:D)=1,0,-1)</f>
        <v>-1</v>
      </c>
      <c r="D8">
        <f>VLOOKUP(_xlfn.XLOOKUP(A8,BASE_EMISSORES!B:B,BASE_EMISSORES!E:E),PARAMETROS!$E$4:$F$8,2,TRUE)</f>
        <v>3</v>
      </c>
      <c r="E8">
        <f>VLOOKUP(_xlfn.XLOOKUP(A8,BASE_EMISSORES!B:B,BASE_EMISSORES!F:F),PARAMETROS!$H$4:$I$8,2,TRUE)</f>
        <v>4</v>
      </c>
      <c r="F8">
        <f>VLOOKUP(_xlfn.XLOOKUP(A8,BASE_EMISSORES!B:B,BASE_EMISSORES!G:G),PARAMETROS!$K$4:$L$8,2,TRUE)</f>
        <v>2</v>
      </c>
      <c r="G8">
        <f>VLOOKUP(_xlfn.XLOOKUP(A8,BASE_EMISSORES!B:B,BASE_EMISSORES!H:H),PARAMETROS!$N$4:$O$8,2,TRUE)</f>
        <v>1</v>
      </c>
      <c r="H8">
        <f>VLOOKUP(_xlfn.XLOOKUP(A8,BASE_EMISSORES!B:B,BASE_EMISSORES!I:I),PARAMETROS!$Q$4:$R$8,2,TRUE)</f>
        <v>3</v>
      </c>
      <c r="I8">
        <f>VLOOKUP(_xlfn.XLOOKUP(A8,BASE_EMISSORES!B:B,BASE_EMISSORES!J:J),PARAMETROS!$T$4:$U$8,2,TRUE)</f>
        <v>2</v>
      </c>
      <c r="J8">
        <f t="shared" si="0"/>
        <v>2.4</v>
      </c>
      <c r="K8" s="17" t="str">
        <f>VLOOKUP(J8,PARAMETROS!$W$4:$X$12,2,TRUE)</f>
        <v>AA</v>
      </c>
      <c r="L8" s="17" t="str">
        <f>BASE_EMISSORES!K6</f>
        <v>AA</v>
      </c>
    </row>
    <row r="9" spans="1:12" x14ac:dyDescent="0.3">
      <c r="A9" t="str">
        <f>BASE_EMISSORES!B7</f>
        <v>EQUATORIAL</v>
      </c>
      <c r="B9" t="str">
        <f>BASE_EMISSORES!C7</f>
        <v>Energia eletrica</v>
      </c>
      <c r="C9">
        <f>IF(_xlfn.XLOOKUP(A9,BASE_EMISSORES!B:B,BASE_EMISSORES!D:D)=1,0,-1)</f>
        <v>-1</v>
      </c>
      <c r="D9">
        <f>VLOOKUP(_xlfn.XLOOKUP(A9,BASE_EMISSORES!B:B,BASE_EMISSORES!E:E),PARAMETROS!$E$4:$F$8,2,TRUE)</f>
        <v>4</v>
      </c>
      <c r="E9">
        <f>VLOOKUP(_xlfn.XLOOKUP(A9,BASE_EMISSORES!B:B,BASE_EMISSORES!F:F),PARAMETROS!$H$4:$I$8,2,TRUE)</f>
        <v>4</v>
      </c>
      <c r="F9">
        <f>VLOOKUP(_xlfn.XLOOKUP(A9,BASE_EMISSORES!B:B,BASE_EMISSORES!G:G),PARAMETROS!$K$4:$L$8,2,TRUE)</f>
        <v>3</v>
      </c>
      <c r="G9">
        <f>VLOOKUP(_xlfn.XLOOKUP(A9,BASE_EMISSORES!B:B,BASE_EMISSORES!H:H),PARAMETROS!$N$4:$O$8,2,TRUE)</f>
        <v>4</v>
      </c>
      <c r="H9">
        <f>VLOOKUP(_xlfn.XLOOKUP(A9,BASE_EMISSORES!B:B,BASE_EMISSORES!I:I),PARAMETROS!$Q$4:$R$8,2,TRUE)</f>
        <v>3</v>
      </c>
      <c r="I9">
        <f>VLOOKUP(_xlfn.XLOOKUP(A9,BASE_EMISSORES!B:B,BASE_EMISSORES!J:J),PARAMETROS!$T$4:$U$8,2,TRUE)</f>
        <v>3</v>
      </c>
      <c r="J9">
        <f t="shared" si="0"/>
        <v>3.3000000000000003</v>
      </c>
      <c r="K9" s="17" t="str">
        <f>VLOOKUP(J9,PARAMETROS!$W$4:$X$12,2,TRUE)</f>
        <v>A+</v>
      </c>
      <c r="L9" s="17" t="str">
        <f>BASE_EMISSORES!K7</f>
        <v>AA+</v>
      </c>
    </row>
    <row r="10" spans="1:12" x14ac:dyDescent="0.3">
      <c r="A10" t="str">
        <f>BASE_EMISSORES!B8</f>
        <v>NEOENERGIA</v>
      </c>
      <c r="B10" t="str">
        <f>BASE_EMISSORES!C8</f>
        <v>Energia eletrica</v>
      </c>
      <c r="C10">
        <f>IF(_xlfn.XLOOKUP(A10,BASE_EMISSORES!B:B,BASE_EMISSORES!D:D)=1,0,-1)</f>
        <v>0</v>
      </c>
      <c r="D10">
        <f>VLOOKUP(_xlfn.XLOOKUP(A10,BASE_EMISSORES!B:B,BASE_EMISSORES!E:E),PARAMETROS!$E$4:$F$8,2,TRUE)</f>
        <v>4</v>
      </c>
      <c r="E10">
        <f>VLOOKUP(_xlfn.XLOOKUP(A10,BASE_EMISSORES!B:B,BASE_EMISSORES!F:F),PARAMETROS!$H$4:$I$8,2,TRUE)</f>
        <v>4</v>
      </c>
      <c r="F10">
        <f>VLOOKUP(_xlfn.XLOOKUP(A10,BASE_EMISSORES!B:B,BASE_EMISSORES!G:G),PARAMETROS!$K$4:$L$8,2,TRUE)</f>
        <v>2</v>
      </c>
      <c r="G10">
        <f>VLOOKUP(_xlfn.XLOOKUP(A10,BASE_EMISSORES!B:B,BASE_EMISSORES!H:H),PARAMETROS!$N$4:$O$8,2,TRUE)</f>
        <v>4</v>
      </c>
      <c r="H10">
        <f>VLOOKUP(_xlfn.XLOOKUP(A10,BASE_EMISSORES!B:B,BASE_EMISSORES!I:I),PARAMETROS!$Q$4:$R$8,2,TRUE)</f>
        <v>3</v>
      </c>
      <c r="I10">
        <f>VLOOKUP(_xlfn.XLOOKUP(A10,BASE_EMISSORES!B:B,BASE_EMISSORES!J:J),PARAMETROS!$T$4:$U$8,2,TRUE)</f>
        <v>3</v>
      </c>
      <c r="J10">
        <f t="shared" si="0"/>
        <v>3.15</v>
      </c>
      <c r="K10" s="17" t="str">
        <f>VLOOKUP(J10,PARAMETROS!$W$4:$X$12,2,TRUE)</f>
        <v>A+</v>
      </c>
      <c r="L10" s="17" t="str">
        <f>BASE_EMISSORES!K8</f>
        <v>AA-</v>
      </c>
    </row>
    <row r="11" spans="1:12" x14ac:dyDescent="0.3">
      <c r="A11" t="str">
        <f>BASE_EMISSORES!B9</f>
        <v>SERENA</v>
      </c>
      <c r="B11" t="str">
        <f>BASE_EMISSORES!C9</f>
        <v>Energia eletrica</v>
      </c>
      <c r="C11">
        <f>IF(_xlfn.XLOOKUP(A11,BASE_EMISSORES!B:B,BASE_EMISSORES!D:D)=1,0,-1)</f>
        <v>-1</v>
      </c>
      <c r="D11">
        <f>VLOOKUP(_xlfn.XLOOKUP(A11,BASE_EMISSORES!B:B,BASE_EMISSORES!E:E),PARAMETROS!$E$4:$F$8,2,TRUE)</f>
        <v>5</v>
      </c>
      <c r="E11">
        <f>VLOOKUP(_xlfn.XLOOKUP(A11,BASE_EMISSORES!B:B,BASE_EMISSORES!F:F),PARAMETROS!$H$4:$I$8,2,TRUE)</f>
        <v>1</v>
      </c>
      <c r="F11">
        <f>VLOOKUP(_xlfn.XLOOKUP(A11,BASE_EMISSORES!B:B,BASE_EMISSORES!G:G),PARAMETROS!$K$4:$L$8,2,TRUE)</f>
        <v>4</v>
      </c>
      <c r="G11">
        <f>VLOOKUP(_xlfn.XLOOKUP(A11,BASE_EMISSORES!B:B,BASE_EMISSORES!H:H),PARAMETROS!$N$4:$O$8,2,TRUE)</f>
        <v>4</v>
      </c>
      <c r="H11">
        <f>VLOOKUP(_xlfn.XLOOKUP(A11,BASE_EMISSORES!B:B,BASE_EMISSORES!I:I),PARAMETROS!$Q$4:$R$8,2,TRUE)</f>
        <v>4</v>
      </c>
      <c r="I11">
        <f>VLOOKUP(_xlfn.XLOOKUP(A11,BASE_EMISSORES!B:B,BASE_EMISSORES!J:J),PARAMETROS!$T$4:$U$8,2,TRUE)</f>
        <v>4</v>
      </c>
      <c r="J11">
        <f t="shared" si="0"/>
        <v>3.5</v>
      </c>
      <c r="K11" s="17" t="str">
        <f>VLOOKUP(J11,PARAMETROS!$W$4:$X$12,2,TRUE)</f>
        <v>A</v>
      </c>
      <c r="L11" s="17" t="str">
        <f>BASE_EMISSORES!K9</f>
        <v>A+</v>
      </c>
    </row>
    <row r="12" spans="1:12" x14ac:dyDescent="0.3">
      <c r="A12" t="str">
        <f>BASE_EMISSORES!B10</f>
        <v>TAESA</v>
      </c>
      <c r="B12" t="str">
        <f>BASE_EMISSORES!C10</f>
        <v>Energia eletrica</v>
      </c>
      <c r="C12">
        <f>IF(_xlfn.XLOOKUP(A12,BASE_EMISSORES!B:B,BASE_EMISSORES!D:D)=1,0,-1)</f>
        <v>0</v>
      </c>
      <c r="D12">
        <f>VLOOKUP(_xlfn.XLOOKUP(A12,BASE_EMISSORES!B:B,BASE_EMISSORES!E:E),PARAMETROS!$E$4:$F$8,2,TRUE)</f>
        <v>5</v>
      </c>
      <c r="E12">
        <f>VLOOKUP(_xlfn.XLOOKUP(A12,BASE_EMISSORES!B:B,BASE_EMISSORES!F:F),PARAMETROS!$H$4:$I$8,2,TRUE)</f>
        <v>1</v>
      </c>
      <c r="F12">
        <f>VLOOKUP(_xlfn.XLOOKUP(A12,BASE_EMISSORES!B:B,BASE_EMISSORES!G:G),PARAMETROS!$K$4:$L$8,2,TRUE)</f>
        <v>2</v>
      </c>
      <c r="G12">
        <f>VLOOKUP(_xlfn.XLOOKUP(A12,BASE_EMISSORES!B:B,BASE_EMISSORES!H:H),PARAMETROS!$N$4:$O$8,2,TRUE)</f>
        <v>4</v>
      </c>
      <c r="H12">
        <f>VLOOKUP(_xlfn.XLOOKUP(A12,BASE_EMISSORES!B:B,BASE_EMISSORES!I:I),PARAMETROS!$Q$4:$R$8,2,TRUE)</f>
        <v>4</v>
      </c>
      <c r="I12">
        <f>VLOOKUP(_xlfn.XLOOKUP(A12,BASE_EMISSORES!B:B,BASE_EMISSORES!J:J),PARAMETROS!$T$4:$U$8,2,TRUE)</f>
        <v>3</v>
      </c>
      <c r="J12">
        <f t="shared" si="0"/>
        <v>3.1</v>
      </c>
      <c r="K12" s="17" t="str">
        <f>VLOOKUP(J12,PARAMETROS!$W$4:$X$12,2,TRUE)</f>
        <v>A+</v>
      </c>
      <c r="L12" s="17" t="str">
        <f>BASE_EMISSORES!K10</f>
        <v>AA+</v>
      </c>
    </row>
    <row r="13" spans="1:12" x14ac:dyDescent="0.3">
      <c r="A13" t="str">
        <f>BASE_EMISSORES!B11</f>
        <v>TUPI ENERGIA</v>
      </c>
      <c r="B13" t="str">
        <f>BASE_EMISSORES!C11</f>
        <v>Energia eletrica</v>
      </c>
      <c r="C13">
        <f>IF(_xlfn.XLOOKUP(A13,BASE_EMISSORES!B:B,BASE_EMISSORES!D:D)=1,0,-1)</f>
        <v>-1</v>
      </c>
      <c r="D13">
        <f>VLOOKUP(_xlfn.XLOOKUP(A13,BASE_EMISSORES!B:B,BASE_EMISSORES!E:E),PARAMETROS!$E$4:$F$8,2,TRUE)</f>
        <v>4</v>
      </c>
      <c r="E13">
        <f>VLOOKUP(_xlfn.XLOOKUP(A13,BASE_EMISSORES!B:B,BASE_EMISSORES!F:F),PARAMETROS!$H$4:$I$8,2,TRUE)</f>
        <v>2</v>
      </c>
      <c r="F13">
        <f>VLOOKUP(_xlfn.XLOOKUP(A13,BASE_EMISSORES!B:B,BASE_EMISSORES!G:G),PARAMETROS!$K$4:$L$8,2,TRUE)</f>
        <v>1</v>
      </c>
      <c r="G13">
        <f>VLOOKUP(_xlfn.XLOOKUP(A13,BASE_EMISSORES!B:B,BASE_EMISSORES!H:H),PARAMETROS!$N$4:$O$8,2,TRUE)</f>
        <v>3</v>
      </c>
      <c r="H13">
        <f>VLOOKUP(_xlfn.XLOOKUP(A13,BASE_EMISSORES!B:B,BASE_EMISSORES!I:I),PARAMETROS!$Q$4:$R$8,2,TRUE)</f>
        <v>3</v>
      </c>
      <c r="I13">
        <f>VLOOKUP(_xlfn.XLOOKUP(A13,BASE_EMISSORES!B:B,BASE_EMISSORES!J:J),PARAMETROS!$T$4:$U$8,2,TRUE)</f>
        <v>5</v>
      </c>
      <c r="J13">
        <f t="shared" si="0"/>
        <v>2.5499999999999998</v>
      </c>
      <c r="K13" s="17" t="str">
        <f>VLOOKUP(J13,PARAMETROS!$W$4:$X$12,2,TRUE)</f>
        <v>AA-</v>
      </c>
      <c r="L13" s="17" t="str">
        <f>BASE_EMISSORES!K11</f>
        <v>A+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0A50-B748-43EA-880C-A9F7216AE213}">
  <dimension ref="B2:Q27"/>
  <sheetViews>
    <sheetView tabSelected="1" workbookViewId="0">
      <selection activeCell="I17" sqref="I17"/>
    </sheetView>
  </sheetViews>
  <sheetFormatPr defaultRowHeight="14.4" x14ac:dyDescent="0.3"/>
  <cols>
    <col min="1" max="1" width="8.88671875" style="11"/>
    <col min="2" max="2" width="25.109375" style="11" bestFit="1" customWidth="1"/>
    <col min="3" max="3" width="14.33203125" style="11" customWidth="1"/>
    <col min="4" max="5" width="8.88671875" style="11"/>
    <col min="6" max="6" width="26.6640625" style="11" customWidth="1"/>
    <col min="7" max="15" width="8.88671875" style="11"/>
    <col min="16" max="16" width="17.6640625" style="11" bestFit="1" customWidth="1"/>
    <col min="17" max="17" width="5.44140625" style="11" bestFit="1" customWidth="1"/>
    <col min="18" max="16384" width="8.88671875" style="11"/>
  </cols>
  <sheetData>
    <row r="2" spans="2:17" ht="15.6" x14ac:dyDescent="0.3">
      <c r="B2" s="10" t="s">
        <v>29</v>
      </c>
      <c r="C2" s="10"/>
      <c r="F2" s="10" t="s">
        <v>30</v>
      </c>
      <c r="G2" s="12" t="s">
        <v>31</v>
      </c>
      <c r="P2" s="29" t="s">
        <v>14</v>
      </c>
      <c r="Q2" s="29" t="s">
        <v>15</v>
      </c>
    </row>
    <row r="3" spans="2:17" ht="15.6" x14ac:dyDescent="0.3">
      <c r="B3" s="13" t="s">
        <v>0</v>
      </c>
      <c r="C3" s="11" t="s">
        <v>54</v>
      </c>
      <c r="F3" s="13" t="s">
        <v>4</v>
      </c>
      <c r="G3" s="11">
        <f>VLOOKUP(C5,PARAMETROS!E4:F8,2,TRUE)</f>
        <v>3</v>
      </c>
      <c r="P3" s="13" t="s">
        <v>4</v>
      </c>
      <c r="Q3" s="26">
        <v>0.2</v>
      </c>
    </row>
    <row r="4" spans="2:17" ht="15.6" x14ac:dyDescent="0.3">
      <c r="B4" s="15" t="s">
        <v>1</v>
      </c>
      <c r="C4" s="16" t="s">
        <v>55</v>
      </c>
      <c r="F4" s="15" t="s">
        <v>44</v>
      </c>
      <c r="G4" s="16">
        <f>VLOOKUP(C6,PARAMETROS!K4:L8,2,TRUE)</f>
        <v>2</v>
      </c>
      <c r="P4" s="15" t="s">
        <v>44</v>
      </c>
      <c r="Q4" s="28">
        <v>0.2</v>
      </c>
    </row>
    <row r="5" spans="2:17" ht="15.6" x14ac:dyDescent="0.3">
      <c r="B5" s="13" t="s">
        <v>4</v>
      </c>
      <c r="C5" s="11">
        <v>2.1</v>
      </c>
      <c r="F5" s="13" t="s">
        <v>5</v>
      </c>
      <c r="G5" s="11">
        <f>VLOOKUP(C7,PARAMETROS!H4:I8,2,TRUE)</f>
        <v>3</v>
      </c>
      <c r="P5" s="13" t="s">
        <v>5</v>
      </c>
      <c r="Q5" s="26">
        <v>0.15</v>
      </c>
    </row>
    <row r="6" spans="2:17" ht="15.6" x14ac:dyDescent="0.3">
      <c r="B6" s="15" t="s">
        <v>44</v>
      </c>
      <c r="C6" s="32">
        <v>0.58799999999999997</v>
      </c>
      <c r="F6" s="15" t="s">
        <v>60</v>
      </c>
      <c r="G6" s="16">
        <f>VLOOKUP(C8,PARAMETROS!N4:O8,2,TRUE)</f>
        <v>1</v>
      </c>
      <c r="P6" s="15" t="s">
        <v>6</v>
      </c>
      <c r="Q6" s="30">
        <v>0.15</v>
      </c>
    </row>
    <row r="7" spans="2:17" ht="15.6" x14ac:dyDescent="0.3">
      <c r="B7" s="13" t="s">
        <v>5</v>
      </c>
      <c r="C7" s="31">
        <v>0.31</v>
      </c>
      <c r="F7" s="13" t="s">
        <v>66</v>
      </c>
      <c r="G7" s="11">
        <f>VLOOKUP(C9,PARAMETROS!Q4:R8,2,TRUE)</f>
        <v>3</v>
      </c>
      <c r="P7" s="13" t="s">
        <v>66</v>
      </c>
      <c r="Q7" s="27">
        <v>0.2</v>
      </c>
    </row>
    <row r="8" spans="2:17" ht="15.6" x14ac:dyDescent="0.3">
      <c r="B8" s="15" t="s">
        <v>60</v>
      </c>
      <c r="C8" s="16">
        <v>4.4000000000000004</v>
      </c>
      <c r="F8" s="15" t="s">
        <v>32</v>
      </c>
      <c r="G8" s="16">
        <f>IF(C10=1,0,-1)</f>
        <v>0</v>
      </c>
      <c r="P8" s="15" t="s">
        <v>2</v>
      </c>
      <c r="Q8" s="28">
        <v>0.05</v>
      </c>
    </row>
    <row r="9" spans="2:17" ht="15.6" x14ac:dyDescent="0.3">
      <c r="B9" s="13" t="s">
        <v>66</v>
      </c>
      <c r="C9" s="11">
        <v>1.1000000000000001</v>
      </c>
      <c r="F9" s="13" t="s">
        <v>7</v>
      </c>
      <c r="G9" s="11">
        <f>VLOOKUP(C11,PARAMETROS!T4:U8,2,TRUE)</f>
        <v>1</v>
      </c>
      <c r="P9" s="13" t="s">
        <v>7</v>
      </c>
      <c r="Q9" s="27">
        <v>0.05</v>
      </c>
    </row>
    <row r="10" spans="2:17" x14ac:dyDescent="0.3">
      <c r="B10" s="15" t="s">
        <v>3</v>
      </c>
      <c r="C10" s="16">
        <v>1</v>
      </c>
      <c r="F10" s="13" t="s">
        <v>17</v>
      </c>
      <c r="G10" s="11">
        <f>SUMPRODUCT(G3:G9,Q3:Q9)</f>
        <v>2.25</v>
      </c>
    </row>
    <row r="11" spans="2:17" ht="15.6" x14ac:dyDescent="0.3">
      <c r="B11" s="13" t="s">
        <v>7</v>
      </c>
      <c r="C11" s="11">
        <v>23.5</v>
      </c>
      <c r="F11" s="15" t="s">
        <v>26</v>
      </c>
      <c r="G11" s="16" t="str">
        <f>VLOOKUP(G10,PARAMETROS!W4:X12,2,TRUE)</f>
        <v>AA</v>
      </c>
      <c r="H11" s="11" t="s">
        <v>38</v>
      </c>
      <c r="P11" s="13"/>
      <c r="Q11" s="27"/>
    </row>
    <row r="12" spans="2:17" x14ac:dyDescent="0.3">
      <c r="B12" s="13"/>
    </row>
    <row r="19" spans="2:4" x14ac:dyDescent="0.3">
      <c r="B19" s="10" t="s">
        <v>33</v>
      </c>
      <c r="C19" s="10"/>
    </row>
    <row r="21" spans="2:4" x14ac:dyDescent="0.3">
      <c r="B21" s="13" t="s">
        <v>1</v>
      </c>
      <c r="C21" s="14" t="str">
        <f>C4</f>
        <v>Energia eletrica</v>
      </c>
    </row>
    <row r="22" spans="2:4" x14ac:dyDescent="0.3">
      <c r="B22" s="15" t="s">
        <v>34</v>
      </c>
      <c r="C22" s="16">
        <f>AVERAGEIFS(CALCULO_NOTA!J:J,CALCULO_NOTA!B:B,NOVO_EMISSOR!C21)</f>
        <v>2.6750000000000003</v>
      </c>
    </row>
    <row r="23" spans="2:4" x14ac:dyDescent="0.3">
      <c r="B23" s="13" t="s">
        <v>35</v>
      </c>
      <c r="C23" s="11" cm="1">
        <f t="array" ref="C23">MEDIAN(_xlfn._xlws.FILTER(CALCULO_NOTA!J4:J13,CALCULO_NOTA!B4:B13=NOVO_EMISSOR!C21))</f>
        <v>2.5999999999999996</v>
      </c>
    </row>
    <row r="24" spans="2:4" x14ac:dyDescent="0.3">
      <c r="B24" s="15" t="s">
        <v>37</v>
      </c>
      <c r="C24" s="16" t="str">
        <f>VLOOKUP(C22,PARAMETROS!W4:X12,2,TRUE)</f>
        <v>AA-</v>
      </c>
    </row>
    <row r="25" spans="2:4" x14ac:dyDescent="0.3">
      <c r="B25" s="13" t="s">
        <v>36</v>
      </c>
      <c r="C25" s="11" t="str">
        <f>VLOOKUP(C23,PARAMETROS!W4:X12,2,TRUE)</f>
        <v>AA-</v>
      </c>
    </row>
    <row r="27" spans="2:4" x14ac:dyDescent="0.3">
      <c r="B27" s="15" t="s">
        <v>40</v>
      </c>
      <c r="C27" s="16">
        <f>IFERROR(COUNTIFS(CALCULO_NOTA!B4:B13,NOVO_EMISSOR!C21,CALCULO_NOTA!J4:J13,"&lt;="&amp;NOVO_EMISSOR!G10)/COUNTIFS(CALCULO_NOTA!B4:B13,NOVO_EMISSOR!C21),"")</f>
        <v>0.3</v>
      </c>
      <c r="D27" s="11" t="s">
        <v>67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37d6c5-2588-4370-aa2e-2432af9c5dab" xsi:nil="true"/>
    <lcf76f155ced4ddcb4097134ff3c332f xmlns="82f9cad9-154b-4dc9-b941-66564a52c12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EA5D1772A4CF43BFBC64D085072318" ma:contentTypeVersion="22" ma:contentTypeDescription="Criar um novo documento." ma:contentTypeScope="" ma:versionID="123cbb32f16bf15c41b2bb450434c920">
  <xsd:schema xmlns:xsd="http://www.w3.org/2001/XMLSchema" xmlns:xs="http://www.w3.org/2001/XMLSchema" xmlns:p="http://schemas.microsoft.com/office/2006/metadata/properties" xmlns:ns2="82f9cad9-154b-4dc9-b941-66564a52c12e" xmlns:ns3="8937d6c5-2588-4370-aa2e-2432af9c5dab" targetNamespace="http://schemas.microsoft.com/office/2006/metadata/properties" ma:root="true" ma:fieldsID="2301e91680b49b1c638af53b5fd64080" ns2:_="" ns3:_="">
    <xsd:import namespace="82f9cad9-154b-4dc9-b941-66564a52c12e"/>
    <xsd:import namespace="8937d6c5-2588-4370-aa2e-2432af9c5d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9cad9-154b-4dc9-b941-66564a52c1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5889470b-fb98-439a-9103-9ba81ea870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37d6c5-2588-4370-aa2e-2432af9c5da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4f1d457-51f9-4465-b8e5-794eec4ea9af}" ma:internalName="TaxCatchAll" ma:showField="CatchAllData" ma:web="8937d6c5-2588-4370-aa2e-2432af9c5d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168615-CAE9-4DC3-8887-076197B49D72}">
  <ds:schemaRefs>
    <ds:schemaRef ds:uri="http://schemas.microsoft.com/office/2006/metadata/properties"/>
    <ds:schemaRef ds:uri="http://schemas.microsoft.com/office/infopath/2007/PartnerControls"/>
    <ds:schemaRef ds:uri="8937d6c5-2588-4370-aa2e-2432af9c5dab"/>
    <ds:schemaRef ds:uri="82f9cad9-154b-4dc9-b941-66564a52c12e"/>
  </ds:schemaRefs>
</ds:datastoreItem>
</file>

<file path=customXml/itemProps2.xml><?xml version="1.0" encoding="utf-8"?>
<ds:datastoreItem xmlns:ds="http://schemas.openxmlformats.org/officeDocument/2006/customXml" ds:itemID="{47A29284-4CC3-4904-8F31-E61D2763A9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f9cad9-154b-4dc9-b941-66564a52c12e"/>
    <ds:schemaRef ds:uri="8937d6c5-2588-4370-aa2e-2432af9c5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85D47E-5433-411B-86C0-464A560459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BASE_EMISSORES</vt:lpstr>
      <vt:lpstr>PARAMETROS</vt:lpstr>
      <vt:lpstr>CALCULO_NOTA</vt:lpstr>
      <vt:lpstr>NOVO_EMISSOR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Maccari - Quantitas</dc:creator>
  <cp:lastModifiedBy>Igor Maccari - Quantitas</cp:lastModifiedBy>
  <dcterms:created xsi:type="dcterms:W3CDTF">2025-11-24T12:30:29Z</dcterms:created>
  <dcterms:modified xsi:type="dcterms:W3CDTF">2025-11-24T19:48:43Z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0x01010044EA5D1772A4CF43BFBC64D085072318</vt:lpwstr>
  </property>
  <property fmtid="{D5CDD505-2E9C-101B-9397-08002B2CF9AE}" pid="3" name="MediaServiceImageTags">
    <vt:lpwstr/>
  </property>
</Properties>
</file>